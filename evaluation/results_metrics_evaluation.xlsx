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ise\Downloads\"/>
    </mc:Choice>
  </mc:AlternateContent>
  <xr:revisionPtr revIDLastSave="0" documentId="13_ncr:1_{5C94F15C-52C6-43C9-95A8-95C4B13264EC}" xr6:coauthVersionLast="47" xr6:coauthVersionMax="47" xr10:uidLastSave="{00000000-0000-0000-0000-000000000000}"/>
  <bookViews>
    <workbookView xWindow="-105" yWindow="0" windowWidth="14610" windowHeight="16305" firstSheet="3" activeTab="5" xr2:uid="{11D98DA8-B1B9-4537-B518-867773BE73A0}"/>
  </bookViews>
  <sheets>
    <sheet name="Uebersicht" sheetId="1" r:id="rId1"/>
    <sheet name="Metriken" sheetId="2" r:id="rId2"/>
    <sheet name="Bewertung" sheetId="3" r:id="rId3"/>
    <sheet name="Feature-Matrix" sheetId="4" r:id="rId4"/>
    <sheet name="Legende" sheetId="5" r:id="rId5"/>
    <sheet name="Kennzahle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6" l="1"/>
  <c r="E9" i="6" s="1"/>
  <c r="B8" i="6"/>
  <c r="E8" i="6" s="1"/>
  <c r="E5" i="6"/>
  <c r="E7" i="6"/>
  <c r="E10" i="6"/>
  <c r="E11" i="6"/>
  <c r="E12" i="6"/>
  <c r="E13" i="6"/>
  <c r="E14" i="6"/>
  <c r="E15" i="6"/>
  <c r="E16" i="6"/>
  <c r="E17" i="6"/>
  <c r="E6" i="6"/>
  <c r="C12" i="6"/>
  <c r="D11" i="6"/>
  <c r="D13" i="6"/>
  <c r="C10" i="6"/>
  <c r="D15" i="6"/>
  <c r="C14" i="6"/>
</calcChain>
</file>

<file path=xl/sharedStrings.xml><?xml version="1.0" encoding="utf-8"?>
<sst xmlns="http://schemas.openxmlformats.org/spreadsheetml/2006/main" count="394" uniqueCount="227">
  <si>
    <t>Tabellarische Auswertung der Ergebnisse und Metriken</t>
  </si>
  <si>
    <t>Bereich</t>
  </si>
  <si>
    <t>Beschreibung</t>
  </si>
  <si>
    <t>Wert</t>
  </si>
  <si>
    <t>Hinweis</t>
  </si>
  <si>
    <t>Projekt</t>
  </si>
  <si>
    <t>AI-assisted Requirements &amp; User Stories Generator</t>
  </si>
  <si>
    <t>Dokumentationsprojekt</t>
  </si>
  <si>
    <t>Fokus auf Requirements Engineering, User Stories und Prompt-Vergleich</t>
  </si>
  <si>
    <t>Anwendungsideen</t>
  </si>
  <si>
    <t>Simple To-do List und Student Task Manager</t>
  </si>
  <si>
    <t>Unterschiedliche Komplexität: niedrig und mittel</t>
  </si>
  <si>
    <t>KI-Tools</t>
  </si>
  <si>
    <t>ChatGPT und Gemini</t>
  </si>
  <si>
    <t>Beide Tools wurden mit vergleichbaren Prompts getestet</t>
  </si>
  <si>
    <t>Prompt-Strategien</t>
  </si>
  <si>
    <t>Simple, Structured, Iterative</t>
  </si>
  <si>
    <t>Iterativ bedeutet drei aufeinanderfolgende Prompts</t>
  </si>
  <si>
    <t>Vergleichsmethode</t>
  </si>
  <si>
    <t>KI-Ergebnisse wurden mit manueller Baseline verglichen</t>
  </si>
  <si>
    <t>qualitativ</t>
  </si>
  <si>
    <t>Bewertung anhand fester Kriterien</t>
  </si>
  <si>
    <t>Zentrale Erkenntnis</t>
  </si>
  <si>
    <t>KI liefert deutlich ausführlichere Ergebnisse als die Baseline</t>
  </si>
  <si>
    <t>hilfreich</t>
  </si>
  <si>
    <t>Ergebnisse müssen fachlich geprüft und eingegrenzt werden</t>
  </si>
  <si>
    <t>Stärkster Prompt</t>
  </si>
  <si>
    <t>Iterative Prompt</t>
  </si>
  <si>
    <t>beste Vollständigkeit</t>
  </si>
  <si>
    <t>Teilweise aber zu großer Projektumfang</t>
  </si>
  <si>
    <t>Stärke ChatGPT</t>
  </si>
  <si>
    <t>Viele praktische Erweiterungen und breite User Stories</t>
  </si>
  <si>
    <t>Ideenbreite</t>
  </si>
  <si>
    <t>Besonders stark im iterativen Prompt</t>
  </si>
  <si>
    <t>Stärke Gemini</t>
  </si>
  <si>
    <t>Formale Struktur, Qualitätsaspekte, Datenschutz, Barrierefreiheit</t>
  </si>
  <si>
    <t>Struktur</t>
  </si>
  <si>
    <t>Teilweise sehr technische Vorgaben</t>
  </si>
  <si>
    <t>Hinweis zu Zahlen</t>
  </si>
  <si>
    <t>Die Metriken wurden aus den Markdown-Dokumenten gezählt bzw. zusammengefasst.</t>
  </si>
  <si>
    <t>Auswertung</t>
  </si>
  <si>
    <t>Bei strukturierten Dokumenten wurden Hauptanforderungen gezählt, nicht jedes einzelne Datenfeld.</t>
  </si>
  <si>
    <t>Anwendungsidee</t>
  </si>
  <si>
    <t>Quelle</t>
  </si>
  <si>
    <t>Prompt-Art</t>
  </si>
  <si>
    <t>Turns</t>
  </si>
  <si>
    <t>FR</t>
  </si>
  <si>
    <t>NFR</t>
  </si>
  <si>
    <t>User Stories</t>
  </si>
  <si>
    <t>Akzeptanzkriterien</t>
  </si>
  <si>
    <t>Priorisierung</t>
  </si>
  <si>
    <t>Umfang</t>
  </si>
  <si>
    <t>Gesamtbewertung</t>
  </si>
  <si>
    <t>Kommentar</t>
  </si>
  <si>
    <t>Simple To-do List</t>
  </si>
  <si>
    <t>Manuelle Baseline</t>
  </si>
  <si>
    <t>Baseline</t>
  </si>
  <si>
    <t>Nein</t>
  </si>
  <si>
    <t>knapp</t>
  </si>
  <si>
    <t>Basis</t>
  </si>
  <si>
    <t>Enthält die wichtigsten Kernfunktionen, aber keine NFR oder Akzeptanzkriterien.</t>
  </si>
  <si>
    <t>ChatGPT</t>
  </si>
  <si>
    <t>Simple</t>
  </si>
  <si>
    <t>Ja</t>
  </si>
  <si>
    <t>MVP</t>
  </si>
  <si>
    <t>mittel</t>
  </si>
  <si>
    <t>gut</t>
  </si>
  <si>
    <t>Brauchbar und verständlich, ergänzt Filter und Local Storage.</t>
  </si>
  <si>
    <t>Structured</t>
  </si>
  <si>
    <t>Erweiterungen</t>
  </si>
  <si>
    <t>umfangreich</t>
  </si>
  <si>
    <t>sehr gut</t>
  </si>
  <si>
    <t>Klar gegliedert mit funktionalen und nicht-funktionalen Requirements.</t>
  </si>
  <si>
    <t>Iterative</t>
  </si>
  <si>
    <t>sehr umfangreich</t>
  </si>
  <si>
    <t>Viele User Stories und Akzeptanzkriterien, teilweise über MVP hinaus.</t>
  </si>
  <si>
    <t>Gemini</t>
  </si>
  <si>
    <t>Strukturiert, mit Fokus auf Validierung, Performance und lokaler Speicherung.</t>
  </si>
  <si>
    <t>Optional</t>
  </si>
  <si>
    <t>Formales SRS mit Barrierefreiheit, Performance und Datenschutz.</t>
  </si>
  <si>
    <t>gut, aber zu detailliert</t>
  </si>
  <si>
    <t>Sehr detaillierte Qualitätsanforderungen, teilweise zu technisch für eine einfache App.</t>
  </si>
  <si>
    <t>Student Task Manager</t>
  </si>
  <si>
    <t>Grundfunktionen vorhanden, aber keine NFR, Akzeptanzkriterien oder technische Details.</t>
  </si>
  <si>
    <t>Ergänzt Login, Kursverwaltung, Erinnerungen und Deadline-Warnungen.</t>
  </si>
  <si>
    <t>Teilweise</t>
  </si>
  <si>
    <t>Gute Trennung von FR, NFR und User Stories.</t>
  </si>
  <si>
    <t>gut, aber zu breit</t>
  </si>
  <si>
    <t>Sehr viele User Stories, aber keine vollständige erneute Requirements-Struktur.</t>
  </si>
  <si>
    <t>Bereits im Simple Prompt mit Prioritäten und Akzeptanzkriterien.</t>
  </si>
  <si>
    <t>Sehr strukturierte Requirements mit NFR zu Performance, Storage und Sicherheit.</t>
  </si>
  <si>
    <t>gut, aber zu technisch</t>
  </si>
  <si>
    <t>Sehr formal und vollständig, aber mit OAuth, TLS, Offline-First und Cloud-Synchronisation recht groß.</t>
  </si>
  <si>
    <t>Kriterium</t>
  </si>
  <si>
    <t>Bewertung</t>
  </si>
  <si>
    <t>Abdeckung</t>
  </si>
  <si>
    <t>Grundfunktionen vorhanden</t>
  </si>
  <si>
    <t>Deckt Kernfunktionen ab und ergänzt viele Features</t>
  </si>
  <si>
    <t>Deckt Kernfunktionen ab und ergänzt Qualitätsaspekte</t>
  </si>
  <si>
    <t>KI-Ergebnisse sind vollständiger als die Baseline</t>
  </si>
  <si>
    <t>Nicht-funktionale Requirements</t>
  </si>
  <si>
    <t>Nicht separat ausgearbeitet</t>
  </si>
  <si>
    <t>Enthält Usability, Performance, Sicherheit, Responsiveness</t>
  </si>
  <si>
    <t>Stark bei Barrierefreiheit, Datenschutz, Performance und Sicherheit</t>
  </si>
  <si>
    <t>Gemini ist hier meist formaler</t>
  </si>
  <si>
    <t>Einfach und verständlich</t>
  </si>
  <si>
    <t>Sehr viele und ausführliche User Stories</t>
  </si>
  <si>
    <t>Strukturierte User Stories mit Akzeptanzkriterien</t>
  </si>
  <si>
    <t>ChatGPT liefert mehr Breite, Gemini mehr Formalität</t>
  </si>
  <si>
    <t>Mehrwert</t>
  </si>
  <si>
    <t>Kaum Zusatzfunktionen</t>
  </si>
  <si>
    <t>Prioritäten, Filter, Kalender, Erinnerungen, Dashboard</t>
  </si>
  <si>
    <t>Barrierefreiheit, Datenschutz, Validierung, Synchronisation</t>
  </si>
  <si>
    <t>KI erkennt viele Punkte, die in der Baseline fehlen</t>
  </si>
  <si>
    <t>Risiko</t>
  </si>
  <si>
    <t>Zu knapp</t>
  </si>
  <si>
    <t>Teilweise zu breiter Funktionsumfang</t>
  </si>
  <si>
    <t>Teilweise zu technische Vorgaben</t>
  </si>
  <si>
    <t>Menschliche Prüfung bleibt notwendig</t>
  </si>
  <si>
    <t>Bester Prompt</t>
  </si>
  <si>
    <t>Nicht zutreffend</t>
  </si>
  <si>
    <t>Iterative Prompt für viele User Stories</t>
  </si>
  <si>
    <t>Structured/Iterative Prompt für formale Vollständigkeit</t>
  </si>
  <si>
    <t>Structured und Iterative liefern die besten Ergebnisse</t>
  </si>
  <si>
    <t>Gesamtfazit</t>
  </si>
  <si>
    <t>Guter Startpunkt</t>
  </si>
  <si>
    <t>Hilfreich für Ideenfindung</t>
  </si>
  <si>
    <t>Hilfreich für Struktur und Qualität</t>
  </si>
  <si>
    <t>KI unterstützt Requirements Engineering, ersetzt aber keine fachliche Prüfung</t>
  </si>
  <si>
    <t>Feature / Aspekt</t>
  </si>
  <si>
    <t>Aufgaben erstellen</t>
  </si>
  <si>
    <t>beide</t>
  </si>
  <si>
    <t>Must-have</t>
  </si>
  <si>
    <t>Kernfunktion in allen Ergebnissen vorhanden</t>
  </si>
  <si>
    <t>Aufgaben bearbeiten/löschen</t>
  </si>
  <si>
    <t>Alle Versionen decken CRUD-Grundfunktionen ab</t>
  </si>
  <si>
    <t>Erledigt markieren</t>
  </si>
  <si>
    <t>Teilweise ergänzt um Wiederöffnen/Reaktivieren</t>
  </si>
  <si>
    <t>Filter und Sortierung</t>
  </si>
  <si>
    <t>Sinnvoll</t>
  </si>
  <si>
    <t>KI ergänzt mehr Organisationsfunktionen als die Baseline</t>
  </si>
  <si>
    <t>Fälligkeitsdatum</t>
  </si>
  <si>
    <t>Für To-do als Erweiterung, für Student Task Manager zentral</t>
  </si>
  <si>
    <t>Kursverwaltung</t>
  </si>
  <si>
    <t>KI arbeitet Kurse stärker aus, z. B. Farben, Archivierung, Bearbeitung</t>
  </si>
  <si>
    <t>Login / Benutzerkonto</t>
  </si>
  <si>
    <t>Sinnvoll, aber für eine einfache App eventuell zu groß</t>
  </si>
  <si>
    <t>Erinnerungen</t>
  </si>
  <si>
    <t>Wichtiger Mehrwert gegenüber der Baseline</t>
  </si>
  <si>
    <t>Kalenderansicht</t>
  </si>
  <si>
    <t>Erweiterung</t>
  </si>
  <si>
    <t>Hilfreich, aber nicht zwingend für MVP</t>
  </si>
  <si>
    <t>Barrierefreiheit</t>
  </si>
  <si>
    <t>Qualitätsaspekt</t>
  </si>
  <si>
    <t>Besonders bei Gemini deutlich ausgearbeitet</t>
  </si>
  <si>
    <t>Datenschutz / Sicherheit</t>
  </si>
  <si>
    <t>Gemini ergänzt häufiger konkrete Sicherheits- und Datenschutzvorgaben</t>
  </si>
  <si>
    <t>Cloud/Sync/Offline</t>
  </si>
  <si>
    <t>Zu prüfen</t>
  </si>
  <si>
    <t>Technisch sinnvoll, aber für kleinen Projektumfang oft zu groß</t>
  </si>
  <si>
    <t>Sehr hilfreich</t>
  </si>
  <si>
    <t>Macht Anforderungen konkreter und besser prüfbar</t>
  </si>
  <si>
    <t>Begriff</t>
  </si>
  <si>
    <t>Bedeutung</t>
  </si>
  <si>
    <t>Hinweis zur Auswertung</t>
  </si>
  <si>
    <t>Functional Requirement</t>
  </si>
  <si>
    <t>Funktionale Anforderung, also eine konkrete Systemfunktion</t>
  </si>
  <si>
    <t>Non-Functional Requirement</t>
  </si>
  <si>
    <t>Qualitätsanforderung, z. B. Usability, Performance, Sicherheit oder Datenschutz</t>
  </si>
  <si>
    <t>User Story</t>
  </si>
  <si>
    <t>Anforderung aus Nutzersicht</t>
  </si>
  <si>
    <t>Typisch im Format: Als Benutzer möchte ich ..., damit ...</t>
  </si>
  <si>
    <t>Prüfbare Bedingungen</t>
  </si>
  <si>
    <t>Zeigen, wann eine User Story oder Anforderung als erfüllt gilt</t>
  </si>
  <si>
    <t>Anzahl der Prompt-Schritte</t>
  </si>
  <si>
    <t>Simple und Structured = 1 Turn, Iterative = 3 Turns</t>
  </si>
  <si>
    <t>Manuell erstellter Vergleichspunkt</t>
  </si>
  <si>
    <t>Wurde ohne KI-Unterstützung erstellt und dient als Referenz</t>
  </si>
  <si>
    <t>Zählweise</t>
  </si>
  <si>
    <t>Manuell aus Dokumenten abgeleitet</t>
  </si>
  <si>
    <t>Bei verschachtelten Listen wurden nur Hauptanforderungen gezählt; dadurch sind Zahlen als Auswertungsmetriken und nicht als exakte Code-Metriken zu verstehen.</t>
  </si>
  <si>
    <t>Konkrete Metriken / Kennzahlen</t>
  </si>
  <si>
    <t>Metrik</t>
  </si>
  <si>
    <t>Gesamt</t>
  </si>
  <si>
    <t>Anzahl Anwendungsideen</t>
  </si>
  <si>
    <t>Anzahl Prompt-Strategien</t>
  </si>
  <si>
    <t>-</t>
  </si>
  <si>
    <t>Simple, Structured und Iterative Prompt</t>
  </si>
  <si>
    <t>Ausgewertete KI-Ergebnisse</t>
  </si>
  <si>
    <t>2 Anwendungsideen x 3 Prompt-Arten x 2 KI-Tools</t>
  </si>
  <si>
    <t>Manuelle Baselines</t>
  </si>
  <si>
    <t>Eine Baseline je Anwendungsidee</t>
  </si>
  <si>
    <t>Summe dokumentierte Turns</t>
  </si>
  <si>
    <t>Simple/Structured jeweils 1 Turn, Iterative jeweils 3 Turns</t>
  </si>
  <si>
    <t>FR Baseline gesamt</t>
  </si>
  <si>
    <t>5 To-do + 7 Student Task Manager</t>
  </si>
  <si>
    <t>User Stories Baseline gesamt</t>
  </si>
  <si>
    <t>4 To-do + 5 Student Task Manager</t>
  </si>
  <si>
    <t>ChatGPT: gezählte FR</t>
  </si>
  <si>
    <t>Nur Ergebnisse mit separat gezählten FR; iterative ChatGPT-Ergebnisse enthalten teilweise keine separate FR-Struktur</t>
  </si>
  <si>
    <t>Gemini: gezählte FR</t>
  </si>
  <si>
    <t>Gemini trennt FR meist klarer und formaler</t>
  </si>
  <si>
    <t>ChatGPT: gezählte NFR</t>
  </si>
  <si>
    <t>NFR in Simple und Structured stärker sichtbar als in manchen iterativen Ergebnissen</t>
  </si>
  <si>
    <t>Gemini: gezählte NFR</t>
  </si>
  <si>
    <t>Gemini berücksichtigt Qualitätsaspekte wie Usability, Performance, Datenschutz und Barrierefreiheit stärker</t>
  </si>
  <si>
    <t>ChatGPT: User Stories gesamt</t>
  </si>
  <si>
    <t>ChatGPT liefert besonders viele User Stories, vor allem beim iterativen Prompt</t>
  </si>
  <si>
    <t>Gemini: User Stories gesamt</t>
  </si>
  <si>
    <t>Gemini liefert weniger User Stories, dafür oft mit detaillierten Akzeptanzkriterien</t>
  </si>
  <si>
    <t>Ergebnisse mit Akzeptanzkriterien</t>
  </si>
  <si>
    <t>Akzeptanzkriterien erhöhen die Prüfbarkeit der User Stories</t>
  </si>
  <si>
    <t>Ergebnisse mit Priorisierung/MVP</t>
  </si>
  <si>
    <t>Priorisierung wurde nicht durchgehend erzeugt, ist aber hilfreich für Projektumfang</t>
  </si>
  <si>
    <t>Wichtig</t>
  </si>
  <si>
    <t>Zählwerte</t>
  </si>
  <si>
    <t>manuell</t>
  </si>
  <si>
    <t>nicht exakt</t>
  </si>
  <si>
    <t>Die Zahlen dienen als Auswertungsmetriken. Bei verschachtelten Anforderungen wurden Hauptpunkte gezählt.</t>
  </si>
  <si>
    <t>Interpretation</t>
  </si>
  <si>
    <t>Baseline knapp</t>
  </si>
  <si>
    <t>ChatGPT breit</t>
  </si>
  <si>
    <t>Gemini formal</t>
  </si>
  <si>
    <t>KI hilfreich</t>
  </si>
  <si>
    <t>Die Metriken zeigen, dass KI deutlich mehr Struktur und Zusatzaspekte liefert als die manuelle Baseline.</t>
  </si>
  <si>
    <t>Nur StudentTaskM.</t>
  </si>
  <si>
    <t>vor allem Student Task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</si>
</sst>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name val="Calibri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name val="Calibri"/>
    </font>
    <font>
      <b/>
      <sz val="11"/>
      <color indexed="9"/>
      <name val="Calibri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42">
    <xf numFmtId="0" fontId="0" fillId="0" borderId="0" applyNumberFormat="0" applyFill="0" applyBorder="0" applyProtection="0">
      <alignment vertical="top"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>
      <alignment vertical="top" wrapText="1"/>
    </xf>
    <xf numFmtId="0" fontId="19" fillId="33" borderId="10" xfId="0" applyFont="1" applyFill="1" applyBorder="1" applyAlignment="1">
      <alignment vertical="center" wrapText="1"/>
    </xf>
    <xf numFmtId="0" fontId="0" fillId="0" borderId="11" xfId="0" applyBorder="1">
      <alignment vertical="top" wrapText="1"/>
    </xf>
    <xf numFmtId="0" fontId="0" fillId="34" borderId="11" xfId="0" applyFill="1" applyBorder="1">
      <alignment vertical="top" wrapText="1"/>
    </xf>
    <xf numFmtId="0" fontId="0" fillId="35" borderId="11" xfId="0" applyFill="1" applyBorder="1">
      <alignment vertical="top" wrapText="1"/>
    </xf>
    <xf numFmtId="0" fontId="18" fillId="0" borderId="0" xfId="0" applyFont="1">
      <alignment vertical="top"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7EE8A-8ABF-4F2F-94DB-0FE902304FF8}">
  <dimension ref="A1:D12"/>
  <sheetViews>
    <sheetView workbookViewId="0">
      <selection activeCell="B33" sqref="B33"/>
    </sheetView>
  </sheetViews>
  <sheetFormatPr baseColWidth="10" defaultRowHeight="15"/>
  <cols>
    <col min="1" max="1" width="41.85546875" bestFit="1" customWidth="1"/>
    <col min="2" max="2" width="68.5703125" bestFit="1" customWidth="1"/>
    <col min="3" max="3" width="30.42578125" bestFit="1" customWidth="1"/>
    <col min="4" max="4" width="57.140625" bestFit="1" customWidth="1"/>
  </cols>
  <sheetData>
    <row r="1" spans="1:4" ht="21">
      <c r="A1" s="5" t="s">
        <v>0</v>
      </c>
      <c r="B1" s="5"/>
      <c r="C1" s="5"/>
      <c r="D1" s="5"/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 ht="30">
      <c r="A3" s="2" t="s">
        <v>5</v>
      </c>
      <c r="B3" s="2" t="s">
        <v>6</v>
      </c>
      <c r="C3" s="2" t="s">
        <v>7</v>
      </c>
      <c r="D3" s="2" t="s">
        <v>8</v>
      </c>
    </row>
    <row r="4" spans="1:4">
      <c r="A4" s="2" t="s">
        <v>9</v>
      </c>
      <c r="B4" s="2" t="s">
        <v>10</v>
      </c>
      <c r="C4" s="2">
        <v>2</v>
      </c>
      <c r="D4" s="2" t="s">
        <v>11</v>
      </c>
    </row>
    <row r="5" spans="1:4">
      <c r="A5" s="2" t="s">
        <v>12</v>
      </c>
      <c r="B5" s="2" t="s">
        <v>13</v>
      </c>
      <c r="C5" s="2">
        <v>2</v>
      </c>
      <c r="D5" s="2" t="s">
        <v>14</v>
      </c>
    </row>
    <row r="6" spans="1:4">
      <c r="A6" s="2" t="s">
        <v>15</v>
      </c>
      <c r="B6" s="2" t="s">
        <v>16</v>
      </c>
      <c r="C6" s="2">
        <v>3</v>
      </c>
      <c r="D6" s="2" t="s">
        <v>17</v>
      </c>
    </row>
    <row r="7" spans="1:4">
      <c r="A7" s="2" t="s">
        <v>18</v>
      </c>
      <c r="B7" s="2" t="s">
        <v>19</v>
      </c>
      <c r="C7" s="2" t="s">
        <v>20</v>
      </c>
      <c r="D7" s="2" t="s">
        <v>21</v>
      </c>
    </row>
    <row r="8" spans="1:4">
      <c r="A8" s="2" t="s">
        <v>22</v>
      </c>
      <c r="B8" s="2" t="s">
        <v>23</v>
      </c>
      <c r="C8" s="3" t="s">
        <v>24</v>
      </c>
      <c r="D8" s="2" t="s">
        <v>25</v>
      </c>
    </row>
    <row r="9" spans="1:4">
      <c r="A9" s="2" t="s">
        <v>26</v>
      </c>
      <c r="B9" s="2" t="s">
        <v>27</v>
      </c>
      <c r="C9" s="3" t="s">
        <v>28</v>
      </c>
      <c r="D9" s="2" t="s">
        <v>29</v>
      </c>
    </row>
    <row r="10" spans="1:4">
      <c r="A10" s="2" t="s">
        <v>30</v>
      </c>
      <c r="B10" s="2" t="s">
        <v>31</v>
      </c>
      <c r="C10" s="2" t="s">
        <v>32</v>
      </c>
      <c r="D10" s="2" t="s">
        <v>33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 ht="30">
      <c r="A12" s="4" t="s">
        <v>38</v>
      </c>
      <c r="B12" s="4" t="s">
        <v>39</v>
      </c>
      <c r="C12" s="4" t="s">
        <v>40</v>
      </c>
      <c r="D12" s="4" t="s">
        <v>41</v>
      </c>
    </row>
  </sheetData>
  <mergeCells count="1">
    <mergeCell ref="A1:D1"/>
  </mergeCells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864EB-733B-4E42-A0A9-30472CBAB062}">
  <dimension ref="A1:L15"/>
  <sheetViews>
    <sheetView topLeftCell="Q1" workbookViewId="0">
      <selection activeCell="G6" sqref="G6"/>
    </sheetView>
  </sheetViews>
  <sheetFormatPr baseColWidth="10" defaultRowHeight="15"/>
  <cols>
    <col min="1" max="1" width="28.5703125" bestFit="1" customWidth="1"/>
    <col min="2" max="2" width="32.42578125" bestFit="1" customWidth="1"/>
    <col min="3" max="3" width="22.85546875" bestFit="1" customWidth="1"/>
    <col min="4" max="4" width="18.140625" bestFit="1" customWidth="1"/>
    <col min="5" max="5" width="16.140625" bestFit="1" customWidth="1"/>
    <col min="6" max="6" width="18.140625" bestFit="1" customWidth="1"/>
    <col min="7" max="7" width="16.140625" bestFit="1" customWidth="1"/>
    <col min="8" max="8" width="22.85546875" bestFit="1" customWidth="1"/>
    <col min="9" max="9" width="17.140625" bestFit="1" customWidth="1"/>
    <col min="10" max="10" width="22.85546875" bestFit="1" customWidth="1"/>
    <col min="11" max="11" width="26.7109375" bestFit="1" customWidth="1"/>
    <col min="12" max="12" width="53.28515625" bestFit="1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 ht="30">
      <c r="A2" s="2" t="s">
        <v>54</v>
      </c>
      <c r="B2" s="2" t="s">
        <v>55</v>
      </c>
      <c r="C2" s="2" t="s">
        <v>56</v>
      </c>
      <c r="D2" s="2">
        <v>0</v>
      </c>
      <c r="E2" s="2">
        <v>5</v>
      </c>
      <c r="F2" s="2">
        <v>0</v>
      </c>
      <c r="G2" s="2">
        <v>4</v>
      </c>
      <c r="H2" s="2" t="s">
        <v>57</v>
      </c>
      <c r="I2" s="2" t="s">
        <v>57</v>
      </c>
      <c r="J2" s="2" t="s">
        <v>58</v>
      </c>
      <c r="K2" s="4" t="s">
        <v>59</v>
      </c>
      <c r="L2" s="2" t="s">
        <v>60</v>
      </c>
    </row>
    <row r="3" spans="1:12" ht="30">
      <c r="A3" s="2" t="s">
        <v>54</v>
      </c>
      <c r="B3" s="2" t="s">
        <v>61</v>
      </c>
      <c r="C3" s="2" t="s">
        <v>62</v>
      </c>
      <c r="D3" s="2">
        <v>1</v>
      </c>
      <c r="E3" s="2">
        <v>6</v>
      </c>
      <c r="F3" s="2">
        <v>4</v>
      </c>
      <c r="G3" s="2">
        <v>6</v>
      </c>
      <c r="H3" s="2" t="s">
        <v>63</v>
      </c>
      <c r="I3" s="2" t="s">
        <v>64</v>
      </c>
      <c r="J3" s="2" t="s">
        <v>65</v>
      </c>
      <c r="K3" s="3" t="s">
        <v>66</v>
      </c>
      <c r="L3" s="2" t="s">
        <v>67</v>
      </c>
    </row>
    <row r="4" spans="1:12" ht="30">
      <c r="A4" s="2" t="s">
        <v>54</v>
      </c>
      <c r="B4" s="2" t="s">
        <v>61</v>
      </c>
      <c r="C4" s="2" t="s">
        <v>68</v>
      </c>
      <c r="D4" s="2">
        <v>1</v>
      </c>
      <c r="E4" s="2">
        <v>10</v>
      </c>
      <c r="F4" s="2">
        <v>8</v>
      </c>
      <c r="G4" s="2">
        <v>10</v>
      </c>
      <c r="H4" s="2" t="s">
        <v>63</v>
      </c>
      <c r="I4" s="2" t="s">
        <v>69</v>
      </c>
      <c r="J4" s="2" t="s">
        <v>70</v>
      </c>
      <c r="K4" s="3" t="s">
        <v>71</v>
      </c>
      <c r="L4" s="2" t="s">
        <v>72</v>
      </c>
    </row>
    <row r="5" spans="1:12" ht="30">
      <c r="A5" s="2" t="s">
        <v>54</v>
      </c>
      <c r="B5" s="2" t="s">
        <v>61</v>
      </c>
      <c r="C5" s="2" t="s">
        <v>73</v>
      </c>
      <c r="D5" s="2">
        <v>3</v>
      </c>
      <c r="E5" s="2">
        <v>0</v>
      </c>
      <c r="F5" s="2">
        <v>0</v>
      </c>
      <c r="G5" s="2">
        <v>17</v>
      </c>
      <c r="H5" s="2" t="s">
        <v>63</v>
      </c>
      <c r="I5" s="2" t="s">
        <v>57</v>
      </c>
      <c r="J5" s="2" t="s">
        <v>74</v>
      </c>
      <c r="K5" s="3" t="s">
        <v>71</v>
      </c>
      <c r="L5" s="2" t="s">
        <v>75</v>
      </c>
    </row>
    <row r="6" spans="1:12" ht="30">
      <c r="A6" s="2" t="s">
        <v>54</v>
      </c>
      <c r="B6" s="2" t="s">
        <v>76</v>
      </c>
      <c r="C6" s="2" t="s">
        <v>62</v>
      </c>
      <c r="D6" s="2">
        <v>1</v>
      </c>
      <c r="E6" s="2">
        <v>8</v>
      </c>
      <c r="F6" s="2">
        <v>3</v>
      </c>
      <c r="G6" s="2">
        <v>5</v>
      </c>
      <c r="H6" s="2" t="s">
        <v>63</v>
      </c>
      <c r="I6" s="2" t="s">
        <v>57</v>
      </c>
      <c r="J6" s="2" t="s">
        <v>65</v>
      </c>
      <c r="K6" s="3" t="s">
        <v>66</v>
      </c>
      <c r="L6" s="2" t="s">
        <v>77</v>
      </c>
    </row>
    <row r="7" spans="1:12" ht="30">
      <c r="A7" s="2" t="s">
        <v>54</v>
      </c>
      <c r="B7" s="2" t="s">
        <v>76</v>
      </c>
      <c r="C7" s="2" t="s">
        <v>68</v>
      </c>
      <c r="D7" s="2">
        <v>1</v>
      </c>
      <c r="E7" s="2">
        <v>8</v>
      </c>
      <c r="F7" s="2">
        <v>7</v>
      </c>
      <c r="G7" s="2">
        <v>5</v>
      </c>
      <c r="H7" s="2" t="s">
        <v>63</v>
      </c>
      <c r="I7" s="2" t="s">
        <v>78</v>
      </c>
      <c r="J7" s="2" t="s">
        <v>70</v>
      </c>
      <c r="K7" s="3" t="s">
        <v>71</v>
      </c>
      <c r="L7" s="2" t="s">
        <v>79</v>
      </c>
    </row>
    <row r="8" spans="1:12" ht="30">
      <c r="A8" s="2" t="s">
        <v>54</v>
      </c>
      <c r="B8" s="2" t="s">
        <v>76</v>
      </c>
      <c r="C8" s="2" t="s">
        <v>73</v>
      </c>
      <c r="D8" s="2">
        <v>3</v>
      </c>
      <c r="E8" s="2">
        <v>12</v>
      </c>
      <c r="F8" s="2">
        <v>11</v>
      </c>
      <c r="G8" s="2">
        <v>6</v>
      </c>
      <c r="H8" s="2" t="s">
        <v>63</v>
      </c>
      <c r="I8" s="2" t="s">
        <v>57</v>
      </c>
      <c r="J8" s="2" t="s">
        <v>74</v>
      </c>
      <c r="K8" s="4" t="s">
        <v>80</v>
      </c>
      <c r="L8" s="2" t="s">
        <v>81</v>
      </c>
    </row>
    <row r="9" spans="1:12" ht="30">
      <c r="A9" s="2" t="s">
        <v>82</v>
      </c>
      <c r="B9" s="2" t="s">
        <v>55</v>
      </c>
      <c r="C9" s="2" t="s">
        <v>56</v>
      </c>
      <c r="D9" s="2">
        <v>0</v>
      </c>
      <c r="E9" s="2">
        <v>7</v>
      </c>
      <c r="F9" s="2">
        <v>0</v>
      </c>
      <c r="G9" s="2">
        <v>5</v>
      </c>
      <c r="H9" s="2" t="s">
        <v>57</v>
      </c>
      <c r="I9" s="2" t="s">
        <v>57</v>
      </c>
      <c r="J9" s="2" t="s">
        <v>58</v>
      </c>
      <c r="K9" s="4" t="s">
        <v>59</v>
      </c>
      <c r="L9" s="2" t="s">
        <v>83</v>
      </c>
    </row>
    <row r="10" spans="1:12" ht="30">
      <c r="A10" s="2" t="s">
        <v>82</v>
      </c>
      <c r="B10" s="2" t="s">
        <v>61</v>
      </c>
      <c r="C10" s="2" t="s">
        <v>62</v>
      </c>
      <c r="D10" s="2">
        <v>1</v>
      </c>
      <c r="E10" s="2">
        <v>14</v>
      </c>
      <c r="F10" s="2">
        <v>5</v>
      </c>
      <c r="G10" s="2">
        <v>13</v>
      </c>
      <c r="H10" s="2" t="s">
        <v>63</v>
      </c>
      <c r="I10" s="2" t="s">
        <v>57</v>
      </c>
      <c r="J10" s="2" t="s">
        <v>70</v>
      </c>
      <c r="K10" s="3" t="s">
        <v>66</v>
      </c>
      <c r="L10" s="2" t="s">
        <v>84</v>
      </c>
    </row>
    <row r="11" spans="1:12">
      <c r="A11" s="2" t="s">
        <v>82</v>
      </c>
      <c r="B11" s="2" t="s">
        <v>61</v>
      </c>
      <c r="C11" s="2" t="s">
        <v>68</v>
      </c>
      <c r="D11" s="2">
        <v>1</v>
      </c>
      <c r="E11" s="2">
        <v>16</v>
      </c>
      <c r="F11" s="2">
        <v>13</v>
      </c>
      <c r="G11" s="2">
        <v>13</v>
      </c>
      <c r="H11" s="2" t="s">
        <v>85</v>
      </c>
      <c r="I11" s="2" t="s">
        <v>57</v>
      </c>
      <c r="J11" s="2" t="s">
        <v>70</v>
      </c>
      <c r="K11" s="3" t="s">
        <v>71</v>
      </c>
      <c r="L11" s="2" t="s">
        <v>86</v>
      </c>
    </row>
    <row r="12" spans="1:12" ht="30">
      <c r="A12" s="2" t="s">
        <v>82</v>
      </c>
      <c r="B12" s="2" t="s">
        <v>61</v>
      </c>
      <c r="C12" s="2" t="s">
        <v>73</v>
      </c>
      <c r="D12" s="2">
        <v>3</v>
      </c>
      <c r="E12" s="2">
        <v>0</v>
      </c>
      <c r="F12" s="2">
        <v>0</v>
      </c>
      <c r="G12" s="2">
        <v>39</v>
      </c>
      <c r="H12" s="2" t="s">
        <v>57</v>
      </c>
      <c r="I12" s="2" t="s">
        <v>57</v>
      </c>
      <c r="J12" s="2" t="s">
        <v>74</v>
      </c>
      <c r="K12" s="4" t="s">
        <v>87</v>
      </c>
      <c r="L12" s="2" t="s">
        <v>88</v>
      </c>
    </row>
    <row r="13" spans="1:12" ht="30">
      <c r="A13" s="2" t="s">
        <v>82</v>
      </c>
      <c r="B13" s="2" t="s">
        <v>76</v>
      </c>
      <c r="C13" s="2" t="s">
        <v>62</v>
      </c>
      <c r="D13" s="2">
        <v>1</v>
      </c>
      <c r="E13" s="2">
        <v>8</v>
      </c>
      <c r="F13" s="2">
        <v>4</v>
      </c>
      <c r="G13" s="2">
        <v>6</v>
      </c>
      <c r="H13" s="2" t="s">
        <v>63</v>
      </c>
      <c r="I13" s="2" t="s">
        <v>63</v>
      </c>
      <c r="J13" s="2" t="s">
        <v>70</v>
      </c>
      <c r="K13" s="3" t="s">
        <v>66</v>
      </c>
      <c r="L13" s="2" t="s">
        <v>89</v>
      </c>
    </row>
    <row r="14" spans="1:12" ht="30">
      <c r="A14" s="2" t="s">
        <v>82</v>
      </c>
      <c r="B14" s="2" t="s">
        <v>76</v>
      </c>
      <c r="C14" s="2" t="s">
        <v>68</v>
      </c>
      <c r="D14" s="2">
        <v>1</v>
      </c>
      <c r="E14" s="2">
        <v>12</v>
      </c>
      <c r="F14" s="2">
        <v>8</v>
      </c>
      <c r="G14" s="2">
        <v>9</v>
      </c>
      <c r="H14" s="2" t="s">
        <v>85</v>
      </c>
      <c r="I14" s="2" t="s">
        <v>57</v>
      </c>
      <c r="J14" s="2" t="s">
        <v>70</v>
      </c>
      <c r="K14" s="3" t="s">
        <v>71</v>
      </c>
      <c r="L14" s="2" t="s">
        <v>90</v>
      </c>
    </row>
    <row r="15" spans="1:12" ht="30">
      <c r="A15" s="2" t="s">
        <v>82</v>
      </c>
      <c r="B15" s="2" t="s">
        <v>76</v>
      </c>
      <c r="C15" s="2" t="s">
        <v>73</v>
      </c>
      <c r="D15" s="2">
        <v>3</v>
      </c>
      <c r="E15" s="2">
        <v>16</v>
      </c>
      <c r="F15" s="2">
        <v>7</v>
      </c>
      <c r="G15" s="2">
        <v>9</v>
      </c>
      <c r="H15" s="2" t="s">
        <v>63</v>
      </c>
      <c r="I15" s="2" t="s">
        <v>57</v>
      </c>
      <c r="J15" s="2" t="s">
        <v>74</v>
      </c>
      <c r="K15" s="4" t="s">
        <v>91</v>
      </c>
      <c r="L15" s="2" t="s">
        <v>92</v>
      </c>
    </row>
  </sheetData>
  <pageMargins left="0.78740157499999996" right="0.78740157499999996" top="0.984251969" bottom="0.984251969" header="0.4921259845" footer="0.492125984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4C68D-B2B9-4110-8403-3A114D4BD4B5}">
  <dimension ref="A1:E8"/>
  <sheetViews>
    <sheetView workbookViewId="0"/>
  </sheetViews>
  <sheetFormatPr baseColWidth="10" defaultRowHeight="15"/>
  <cols>
    <col min="1" max="1" width="30.42578125" bestFit="1" customWidth="1"/>
    <col min="2" max="2" width="40" bestFit="1" customWidth="1"/>
    <col min="3" max="5" width="47.5703125" bestFit="1" customWidth="1"/>
  </cols>
  <sheetData>
    <row r="1" spans="1:5">
      <c r="A1" s="1" t="s">
        <v>93</v>
      </c>
      <c r="B1" s="1" t="s">
        <v>55</v>
      </c>
      <c r="C1" s="1" t="s">
        <v>61</v>
      </c>
      <c r="D1" s="1" t="s">
        <v>76</v>
      </c>
      <c r="E1" s="1" t="s">
        <v>94</v>
      </c>
    </row>
    <row r="2" spans="1:5" ht="30">
      <c r="A2" s="2" t="s">
        <v>95</v>
      </c>
      <c r="B2" s="2" t="s">
        <v>96</v>
      </c>
      <c r="C2" s="3" t="s">
        <v>97</v>
      </c>
      <c r="D2" s="3" t="s">
        <v>98</v>
      </c>
      <c r="E2" s="2" t="s">
        <v>99</v>
      </c>
    </row>
    <row r="3" spans="1:5" ht="30">
      <c r="A3" s="2" t="s">
        <v>100</v>
      </c>
      <c r="B3" s="4" t="s">
        <v>101</v>
      </c>
      <c r="C3" s="3" t="s">
        <v>102</v>
      </c>
      <c r="D3" s="3" t="s">
        <v>103</v>
      </c>
      <c r="E3" s="2" t="s">
        <v>104</v>
      </c>
    </row>
    <row r="4" spans="1:5" ht="30">
      <c r="A4" s="2" t="s">
        <v>48</v>
      </c>
      <c r="B4" s="2" t="s">
        <v>105</v>
      </c>
      <c r="C4" s="3" t="s">
        <v>106</v>
      </c>
      <c r="D4" s="3" t="s">
        <v>107</v>
      </c>
      <c r="E4" s="2" t="s">
        <v>108</v>
      </c>
    </row>
    <row r="5" spans="1:5" ht="30">
      <c r="A5" s="2" t="s">
        <v>109</v>
      </c>
      <c r="B5" s="2" t="s">
        <v>110</v>
      </c>
      <c r="C5" s="3" t="s">
        <v>111</v>
      </c>
      <c r="D5" s="3" t="s">
        <v>112</v>
      </c>
      <c r="E5" s="2" t="s">
        <v>113</v>
      </c>
    </row>
    <row r="6" spans="1:5">
      <c r="A6" s="2" t="s">
        <v>114</v>
      </c>
      <c r="B6" s="2" t="s">
        <v>115</v>
      </c>
      <c r="C6" s="4" t="s">
        <v>116</v>
      </c>
      <c r="D6" s="4" t="s">
        <v>117</v>
      </c>
      <c r="E6" s="2" t="s">
        <v>118</v>
      </c>
    </row>
    <row r="7" spans="1:5" ht="30">
      <c r="A7" s="2" t="s">
        <v>119</v>
      </c>
      <c r="B7" s="2" t="s">
        <v>120</v>
      </c>
      <c r="C7" s="3" t="s">
        <v>121</v>
      </c>
      <c r="D7" s="3" t="s">
        <v>122</v>
      </c>
      <c r="E7" s="2" t="s">
        <v>123</v>
      </c>
    </row>
    <row r="8" spans="1:5" ht="30">
      <c r="A8" s="2" t="s">
        <v>124</v>
      </c>
      <c r="B8" s="2" t="s">
        <v>125</v>
      </c>
      <c r="C8" s="3" t="s">
        <v>126</v>
      </c>
      <c r="D8" s="3" t="s">
        <v>127</v>
      </c>
      <c r="E8" s="2" t="s">
        <v>128</v>
      </c>
    </row>
  </sheetData>
  <pageMargins left="0.78740157499999996" right="0.78740157499999996" top="0.984251969" bottom="0.984251969" header="0.4921259845" footer="0.492125984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65026-594C-4B50-BAD0-3D778D083E84}">
  <dimension ref="A1:G14"/>
  <sheetViews>
    <sheetView workbookViewId="0">
      <selection activeCell="B21" sqref="B21"/>
    </sheetView>
  </sheetViews>
  <sheetFormatPr baseColWidth="10" defaultRowHeight="15"/>
  <cols>
    <col min="1" max="1" width="34.28515625" bestFit="1" customWidth="1"/>
    <col min="2" max="2" width="30.42578125" bestFit="1" customWidth="1"/>
    <col min="3" max="5" width="19" bestFit="1" customWidth="1"/>
    <col min="6" max="6" width="24.7109375" bestFit="1" customWidth="1"/>
    <col min="7" max="7" width="49.5703125" bestFit="1" customWidth="1"/>
  </cols>
  <sheetData>
    <row r="1" spans="1:7">
      <c r="A1" s="1" t="s">
        <v>129</v>
      </c>
      <c r="B1" s="1" t="s">
        <v>42</v>
      </c>
      <c r="C1" s="1" t="s">
        <v>56</v>
      </c>
      <c r="D1" s="1" t="s">
        <v>61</v>
      </c>
      <c r="E1" s="1" t="s">
        <v>76</v>
      </c>
      <c r="F1" s="1" t="s">
        <v>94</v>
      </c>
      <c r="G1" s="1" t="s">
        <v>53</v>
      </c>
    </row>
    <row r="2" spans="1:7">
      <c r="A2" s="2" t="s">
        <v>130</v>
      </c>
      <c r="B2" s="2" t="s">
        <v>131</v>
      </c>
      <c r="C2" s="3" t="s">
        <v>63</v>
      </c>
      <c r="D2" s="3" t="s">
        <v>63</v>
      </c>
      <c r="E2" s="3" t="s">
        <v>63</v>
      </c>
      <c r="F2" s="3" t="s">
        <v>132</v>
      </c>
      <c r="G2" s="2" t="s">
        <v>133</v>
      </c>
    </row>
    <row r="3" spans="1:7">
      <c r="A3" s="2" t="s">
        <v>134</v>
      </c>
      <c r="B3" s="2" t="s">
        <v>131</v>
      </c>
      <c r="C3" s="3" t="s">
        <v>63</v>
      </c>
      <c r="D3" s="3" t="s">
        <v>63</v>
      </c>
      <c r="E3" s="3" t="s">
        <v>63</v>
      </c>
      <c r="F3" s="3" t="s">
        <v>132</v>
      </c>
      <c r="G3" s="2" t="s">
        <v>135</v>
      </c>
    </row>
    <row r="4" spans="1:7">
      <c r="A4" s="2" t="s">
        <v>136</v>
      </c>
      <c r="B4" s="2" t="s">
        <v>131</v>
      </c>
      <c r="C4" s="3" t="s">
        <v>63</v>
      </c>
      <c r="D4" s="3" t="s">
        <v>63</v>
      </c>
      <c r="E4" s="3" t="s">
        <v>63</v>
      </c>
      <c r="F4" s="3" t="s">
        <v>132</v>
      </c>
      <c r="G4" s="2" t="s">
        <v>137</v>
      </c>
    </row>
    <row r="5" spans="1:7" ht="30">
      <c r="A5" s="2" t="s">
        <v>138</v>
      </c>
      <c r="B5" s="2" t="s">
        <v>131</v>
      </c>
      <c r="C5" s="4" t="s">
        <v>85</v>
      </c>
      <c r="D5" s="3" t="s">
        <v>63</v>
      </c>
      <c r="E5" s="3" t="s">
        <v>63</v>
      </c>
      <c r="F5" s="3" t="s">
        <v>139</v>
      </c>
      <c r="G5" s="2" t="s">
        <v>140</v>
      </c>
    </row>
    <row r="6" spans="1:7" ht="30">
      <c r="A6" s="2" t="s">
        <v>141</v>
      </c>
      <c r="B6" s="2" t="s">
        <v>131</v>
      </c>
      <c r="C6" s="4" t="s">
        <v>225</v>
      </c>
      <c r="D6" s="3" t="s">
        <v>63</v>
      </c>
      <c r="E6" s="3" t="s">
        <v>63</v>
      </c>
      <c r="F6" s="3" t="s">
        <v>139</v>
      </c>
      <c r="G6" s="2" t="s">
        <v>142</v>
      </c>
    </row>
    <row r="7" spans="1:7" ht="30">
      <c r="A7" s="2" t="s">
        <v>143</v>
      </c>
      <c r="B7" s="2" t="s">
        <v>82</v>
      </c>
      <c r="C7" s="4" t="s">
        <v>85</v>
      </c>
      <c r="D7" s="3" t="s">
        <v>63</v>
      </c>
      <c r="E7" s="3" t="s">
        <v>63</v>
      </c>
      <c r="F7" s="3" t="s">
        <v>139</v>
      </c>
      <c r="G7" s="2" t="s">
        <v>144</v>
      </c>
    </row>
    <row r="8" spans="1:7">
      <c r="A8" s="2" t="s">
        <v>145</v>
      </c>
      <c r="B8" s="2" t="s">
        <v>82</v>
      </c>
      <c r="C8" s="2" t="s">
        <v>57</v>
      </c>
      <c r="D8" s="4" t="s">
        <v>63</v>
      </c>
      <c r="E8" s="4" t="s">
        <v>63</v>
      </c>
      <c r="F8" s="4" t="s">
        <v>78</v>
      </c>
      <c r="G8" s="2" t="s">
        <v>146</v>
      </c>
    </row>
    <row r="9" spans="1:7">
      <c r="A9" s="2" t="s">
        <v>147</v>
      </c>
      <c r="B9" s="2" t="s">
        <v>82</v>
      </c>
      <c r="C9" s="2" t="s">
        <v>57</v>
      </c>
      <c r="D9" s="3" t="s">
        <v>63</v>
      </c>
      <c r="E9" s="3" t="s">
        <v>63</v>
      </c>
      <c r="F9" s="3" t="s">
        <v>139</v>
      </c>
      <c r="G9" s="2" t="s">
        <v>148</v>
      </c>
    </row>
    <row r="10" spans="1:7">
      <c r="A10" s="2" t="s">
        <v>149</v>
      </c>
      <c r="B10" s="2" t="s">
        <v>82</v>
      </c>
      <c r="C10" s="2" t="s">
        <v>57</v>
      </c>
      <c r="D10" s="3" t="s">
        <v>63</v>
      </c>
      <c r="E10" s="3" t="s">
        <v>63</v>
      </c>
      <c r="F10" s="4" t="s">
        <v>150</v>
      </c>
      <c r="G10" s="2" t="s">
        <v>151</v>
      </c>
    </row>
    <row r="11" spans="1:7">
      <c r="A11" s="2" t="s">
        <v>152</v>
      </c>
      <c r="B11" s="2" t="s">
        <v>131</v>
      </c>
      <c r="C11" s="2" t="s">
        <v>57</v>
      </c>
      <c r="D11" s="4" t="s">
        <v>85</v>
      </c>
      <c r="E11" s="3" t="s">
        <v>63</v>
      </c>
      <c r="F11" s="3" t="s">
        <v>153</v>
      </c>
      <c r="G11" s="2" t="s">
        <v>154</v>
      </c>
    </row>
    <row r="12" spans="1:7" ht="30">
      <c r="A12" s="2" t="s">
        <v>155</v>
      </c>
      <c r="B12" s="2" t="s">
        <v>131</v>
      </c>
      <c r="C12" s="2" t="s">
        <v>57</v>
      </c>
      <c r="D12" s="4" t="s">
        <v>85</v>
      </c>
      <c r="E12" s="3" t="s">
        <v>63</v>
      </c>
      <c r="F12" s="3" t="s">
        <v>153</v>
      </c>
      <c r="G12" s="2" t="s">
        <v>156</v>
      </c>
    </row>
    <row r="13" spans="1:7" ht="30">
      <c r="A13" s="2" t="s">
        <v>157</v>
      </c>
      <c r="B13" s="2" t="s">
        <v>226</v>
      </c>
      <c r="C13" s="2" t="s">
        <v>57</v>
      </c>
      <c r="D13" s="4" t="s">
        <v>85</v>
      </c>
      <c r="E13" s="4" t="s">
        <v>63</v>
      </c>
      <c r="F13" s="4" t="s">
        <v>158</v>
      </c>
      <c r="G13" s="2" t="s">
        <v>159</v>
      </c>
    </row>
    <row r="14" spans="1:7">
      <c r="A14" s="2" t="s">
        <v>49</v>
      </c>
      <c r="B14" s="2" t="s">
        <v>131</v>
      </c>
      <c r="C14" s="2" t="s">
        <v>57</v>
      </c>
      <c r="D14" s="3" t="s">
        <v>63</v>
      </c>
      <c r="E14" s="3" t="s">
        <v>63</v>
      </c>
      <c r="F14" s="3" t="s">
        <v>160</v>
      </c>
      <c r="G14" s="2" t="s">
        <v>161</v>
      </c>
    </row>
  </sheetData>
  <pageMargins left="0.78740157499999996" right="0.78740157499999996" top="0.984251969" bottom="0.984251969" header="0.4921259845" footer="0.492125984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C46D6-3FCE-4484-A840-5CD4785963B8}">
  <dimension ref="A1:C8"/>
  <sheetViews>
    <sheetView workbookViewId="0"/>
  </sheetViews>
  <sheetFormatPr baseColWidth="10" defaultRowHeight="15"/>
  <cols>
    <col min="1" max="1" width="32.42578125" bestFit="1" customWidth="1"/>
    <col min="2" max="2" width="47.5703125" bestFit="1" customWidth="1"/>
    <col min="3" max="3" width="80" bestFit="1" customWidth="1"/>
  </cols>
  <sheetData>
    <row r="1" spans="1:3">
      <c r="A1" s="1" t="s">
        <v>162</v>
      </c>
      <c r="B1" s="1" t="s">
        <v>163</v>
      </c>
      <c r="C1" s="1" t="s">
        <v>164</v>
      </c>
    </row>
    <row r="2" spans="1:3">
      <c r="A2" s="2" t="s">
        <v>46</v>
      </c>
      <c r="B2" s="2" t="s">
        <v>165</v>
      </c>
      <c r="C2" s="2" t="s">
        <v>166</v>
      </c>
    </row>
    <row r="3" spans="1:3">
      <c r="A3" s="2" t="s">
        <v>47</v>
      </c>
      <c r="B3" s="2" t="s">
        <v>167</v>
      </c>
      <c r="C3" s="2" t="s">
        <v>168</v>
      </c>
    </row>
    <row r="4" spans="1:3">
      <c r="A4" s="2" t="s">
        <v>169</v>
      </c>
      <c r="B4" s="2" t="s">
        <v>170</v>
      </c>
      <c r="C4" s="2" t="s">
        <v>171</v>
      </c>
    </row>
    <row r="5" spans="1:3">
      <c r="A5" s="2" t="s">
        <v>49</v>
      </c>
      <c r="B5" s="2" t="s">
        <v>172</v>
      </c>
      <c r="C5" s="2" t="s">
        <v>173</v>
      </c>
    </row>
    <row r="6" spans="1:3">
      <c r="A6" s="2" t="s">
        <v>45</v>
      </c>
      <c r="B6" s="2" t="s">
        <v>174</v>
      </c>
      <c r="C6" s="2" t="s">
        <v>175</v>
      </c>
    </row>
    <row r="7" spans="1:3">
      <c r="A7" s="2" t="s">
        <v>56</v>
      </c>
      <c r="B7" s="2" t="s">
        <v>176</v>
      </c>
      <c r="C7" s="2" t="s">
        <v>177</v>
      </c>
    </row>
    <row r="8" spans="1:3" ht="30">
      <c r="A8" s="4" t="s">
        <v>178</v>
      </c>
      <c r="B8" s="4" t="s">
        <v>179</v>
      </c>
      <c r="C8" s="4" t="s">
        <v>180</v>
      </c>
    </row>
  </sheetData>
  <pageMargins left="0.78740157499999996" right="0.78740157499999996" top="0.984251969" bottom="0.984251969" header="0.4921259845" footer="0.492125984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720ED-2848-4F74-9BFD-502382BB50B8}">
  <dimension ref="A1:F19"/>
  <sheetViews>
    <sheetView tabSelected="1" workbookViewId="0">
      <selection activeCell="E13" sqref="E13"/>
    </sheetView>
  </sheetViews>
  <sheetFormatPr baseColWidth="10" defaultRowHeight="15"/>
  <cols>
    <col min="1" max="1" width="43.85546875" bestFit="1" customWidth="1"/>
    <col min="2" max="5" width="22.85546875" bestFit="1" customWidth="1"/>
    <col min="6" max="6" width="61" bestFit="1" customWidth="1"/>
  </cols>
  <sheetData>
    <row r="1" spans="1:6" ht="21">
      <c r="A1" s="5" t="s">
        <v>181</v>
      </c>
      <c r="B1" s="5"/>
      <c r="C1" s="5"/>
      <c r="D1" s="5"/>
      <c r="E1" s="5"/>
      <c r="F1" s="5"/>
    </row>
    <row r="2" spans="1:6">
      <c r="A2" s="1" t="s">
        <v>182</v>
      </c>
      <c r="B2" s="1" t="s">
        <v>56</v>
      </c>
      <c r="C2" s="1" t="s">
        <v>61</v>
      </c>
      <c r="D2" s="1" t="s">
        <v>76</v>
      </c>
      <c r="E2" s="1" t="s">
        <v>183</v>
      </c>
      <c r="F2" s="1" t="s">
        <v>163</v>
      </c>
    </row>
    <row r="3" spans="1:6">
      <c r="A3" s="2" t="s">
        <v>184</v>
      </c>
      <c r="B3" s="2">
        <v>2</v>
      </c>
      <c r="C3" s="2">
        <v>2</v>
      </c>
      <c r="D3" s="2">
        <v>2</v>
      </c>
      <c r="E3" s="2">
        <v>2</v>
      </c>
      <c r="F3" s="2" t="s">
        <v>10</v>
      </c>
    </row>
    <row r="4" spans="1:6">
      <c r="A4" s="2" t="s">
        <v>185</v>
      </c>
      <c r="B4" s="2" t="s">
        <v>186</v>
      </c>
      <c r="C4" s="2">
        <v>3</v>
      </c>
      <c r="D4" s="2">
        <v>3</v>
      </c>
      <c r="E4" s="2">
        <v>3</v>
      </c>
      <c r="F4" s="2" t="s">
        <v>187</v>
      </c>
    </row>
    <row r="5" spans="1:6">
      <c r="A5" s="2" t="s">
        <v>188</v>
      </c>
      <c r="B5" s="2">
        <v>0</v>
      </c>
      <c r="C5" s="2">
        <v>6</v>
      </c>
      <c r="D5" s="2">
        <v>6</v>
      </c>
      <c r="E5" s="2">
        <f>SUM(C5:D5)</f>
        <v>12</v>
      </c>
      <c r="F5" s="2" t="s">
        <v>189</v>
      </c>
    </row>
    <row r="6" spans="1:6">
      <c r="A6" s="2" t="s">
        <v>190</v>
      </c>
      <c r="B6" s="2">
        <v>2</v>
      </c>
      <c r="C6" s="2">
        <v>0</v>
      </c>
      <c r="D6" s="2">
        <v>0</v>
      </c>
      <c r="E6" s="2">
        <f>SUM(B6:D6)</f>
        <v>2</v>
      </c>
      <c r="F6" s="2" t="s">
        <v>191</v>
      </c>
    </row>
    <row r="7" spans="1:6">
      <c r="A7" s="2" t="s">
        <v>192</v>
      </c>
      <c r="B7" s="2">
        <v>0</v>
      </c>
      <c r="C7" s="2">
        <v>10</v>
      </c>
      <c r="D7" s="2">
        <v>10</v>
      </c>
      <c r="E7" s="2">
        <f t="shared" ref="E7:E17" si="0">SUM(B7:D7)</f>
        <v>20</v>
      </c>
      <c r="F7" s="2" t="s">
        <v>193</v>
      </c>
    </row>
    <row r="8" spans="1:6">
      <c r="A8" s="2" t="s">
        <v>194</v>
      </c>
      <c r="B8" s="2">
        <f>SUM(Metriken!E2,Metriken!E9)</f>
        <v>12</v>
      </c>
      <c r="C8" s="2" t="s">
        <v>186</v>
      </c>
      <c r="D8" s="2" t="s">
        <v>186</v>
      </c>
      <c r="E8" s="2">
        <f t="shared" si="0"/>
        <v>12</v>
      </c>
      <c r="F8" s="2" t="s">
        <v>195</v>
      </c>
    </row>
    <row r="9" spans="1:6">
      <c r="A9" s="2" t="s">
        <v>196</v>
      </c>
      <c r="B9" s="2">
        <f>SUM(Metriken!G2,Metriken!G9)</f>
        <v>9</v>
      </c>
      <c r="C9" s="2" t="s">
        <v>186</v>
      </c>
      <c r="D9" s="2" t="s">
        <v>186</v>
      </c>
      <c r="E9" s="2">
        <f t="shared" si="0"/>
        <v>9</v>
      </c>
      <c r="F9" s="2" t="s">
        <v>197</v>
      </c>
    </row>
    <row r="10" spans="1:6" ht="30">
      <c r="A10" s="2" t="s">
        <v>198</v>
      </c>
      <c r="B10" s="2" t="s">
        <v>186</v>
      </c>
      <c r="C10" s="2">
        <f>SUM(Metriken!E3:E5,Metriken!E10:E12)</f>
        <v>46</v>
      </c>
      <c r="D10" s="2" t="s">
        <v>186</v>
      </c>
      <c r="E10" s="2">
        <f t="shared" si="0"/>
        <v>46</v>
      </c>
      <c r="F10" s="2" t="s">
        <v>199</v>
      </c>
    </row>
    <row r="11" spans="1:6">
      <c r="A11" s="2" t="s">
        <v>200</v>
      </c>
      <c r="B11" s="2" t="s">
        <v>186</v>
      </c>
      <c r="C11" s="2" t="s">
        <v>186</v>
      </c>
      <c r="D11" s="2">
        <f>SUM(Metriken!E6:E8,Metriken!E13:E15)</f>
        <v>64</v>
      </c>
      <c r="E11" s="2">
        <f t="shared" si="0"/>
        <v>64</v>
      </c>
      <c r="F11" s="2" t="s">
        <v>201</v>
      </c>
    </row>
    <row r="12" spans="1:6" ht="30">
      <c r="A12" s="2" t="s">
        <v>202</v>
      </c>
      <c r="B12" s="2" t="s">
        <v>186</v>
      </c>
      <c r="C12" s="2">
        <f>SUM(Metriken!F3:F5,Metriken!F10:F12)</f>
        <v>30</v>
      </c>
      <c r="D12" s="2" t="s">
        <v>186</v>
      </c>
      <c r="E12" s="2">
        <f t="shared" si="0"/>
        <v>30</v>
      </c>
      <c r="F12" s="2" t="s">
        <v>203</v>
      </c>
    </row>
    <row r="13" spans="1:6" ht="30">
      <c r="A13" s="2" t="s">
        <v>204</v>
      </c>
      <c r="B13" s="2" t="s">
        <v>186</v>
      </c>
      <c r="C13" s="2" t="s">
        <v>186</v>
      </c>
      <c r="D13" s="2">
        <f>SUM(Metriken!F6:F8,Metriken!F13:F15)</f>
        <v>40</v>
      </c>
      <c r="E13" s="2">
        <f t="shared" si="0"/>
        <v>40</v>
      </c>
      <c r="F13" s="2" t="s">
        <v>205</v>
      </c>
    </row>
    <row r="14" spans="1:6" ht="30">
      <c r="A14" s="2" t="s">
        <v>206</v>
      </c>
      <c r="B14" s="2" t="s">
        <v>186</v>
      </c>
      <c r="C14" s="2">
        <f>SUM(Metriken!G3:G5,Metriken!G10:G12)</f>
        <v>98</v>
      </c>
      <c r="D14" s="2" t="s">
        <v>186</v>
      </c>
      <c r="E14" s="2">
        <f t="shared" si="0"/>
        <v>98</v>
      </c>
      <c r="F14" s="2" t="s">
        <v>207</v>
      </c>
    </row>
    <row r="15" spans="1:6" ht="30">
      <c r="A15" s="2" t="s">
        <v>208</v>
      </c>
      <c r="B15" s="2" t="s">
        <v>186</v>
      </c>
      <c r="C15" s="2" t="s">
        <v>186</v>
      </c>
      <c r="D15" s="2">
        <f>SUM(Metriken!G6:G8,Metriken!G13:G15)</f>
        <v>40</v>
      </c>
      <c r="E15" s="2">
        <f t="shared" si="0"/>
        <v>40</v>
      </c>
      <c r="F15" s="2" t="s">
        <v>209</v>
      </c>
    </row>
    <row r="16" spans="1:6">
      <c r="A16" s="2" t="s">
        <v>210</v>
      </c>
      <c r="B16" s="2">
        <v>0</v>
      </c>
      <c r="C16" s="2">
        <v>4</v>
      </c>
      <c r="D16" s="2">
        <v>5</v>
      </c>
      <c r="E16" s="2">
        <f t="shared" si="0"/>
        <v>9</v>
      </c>
      <c r="F16" s="2" t="s">
        <v>211</v>
      </c>
    </row>
    <row r="17" spans="1:6" ht="30">
      <c r="A17" s="2" t="s">
        <v>212</v>
      </c>
      <c r="B17" s="2">
        <v>0</v>
      </c>
      <c r="C17" s="2">
        <v>2</v>
      </c>
      <c r="D17" s="2">
        <v>2</v>
      </c>
      <c r="E17" s="2">
        <f t="shared" si="0"/>
        <v>4</v>
      </c>
      <c r="F17" s="2" t="s">
        <v>213</v>
      </c>
    </row>
    <row r="18" spans="1:6" ht="30">
      <c r="A18" s="4" t="s">
        <v>214</v>
      </c>
      <c r="B18" s="4" t="s">
        <v>215</v>
      </c>
      <c r="C18" s="4" t="s">
        <v>216</v>
      </c>
      <c r="D18" s="4" t="s">
        <v>20</v>
      </c>
      <c r="E18" s="4" t="s">
        <v>217</v>
      </c>
      <c r="F18" s="4" t="s">
        <v>218</v>
      </c>
    </row>
    <row r="19" spans="1:6" ht="30">
      <c r="A19" s="3" t="s">
        <v>219</v>
      </c>
      <c r="B19" s="3" t="s">
        <v>220</v>
      </c>
      <c r="C19" s="3" t="s">
        <v>221</v>
      </c>
      <c r="D19" s="3" t="s">
        <v>222</v>
      </c>
      <c r="E19" s="3" t="s">
        <v>223</v>
      </c>
      <c r="F19" s="3" t="s">
        <v>224</v>
      </c>
    </row>
  </sheetData>
  <mergeCells count="1">
    <mergeCell ref="A1:F1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Uebersicht</vt:lpstr>
      <vt:lpstr>Metriken</vt:lpstr>
      <vt:lpstr>Bewertung</vt:lpstr>
      <vt:lpstr>Feature-Matrix</vt:lpstr>
      <vt:lpstr>Legende</vt:lpstr>
      <vt:lpstr>Kennzahlen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Tabellarische Auswertung der Ergebnisse und Metriken</dc:title>
  <dc:subject>AI-assisted Requirements &amp; User Stories Generator</dc:subject>
  <dc:creator>Patrick Boettger, Lukas Berghofer</dc:creator>
  <cp:lastModifiedBy>Lukas Berghofer</cp:lastModifiedBy>
  <dcterms:created xsi:type="dcterms:W3CDTF">2026-05-25T09:31:19Z</dcterms:created>
  <dcterms:modified xsi:type="dcterms:W3CDTF">2026-05-27T08:48:37Z</dcterms:modified>
</cp:coreProperties>
</file>